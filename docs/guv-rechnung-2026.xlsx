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V Monatsübersicht" sheetId="1" state="visible" r:id="rId3"/>
    <sheet name="Kundenliste" sheetId="2" state="visible" r:id="rId4"/>
    <sheet name="Equipment &amp; Koste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<sst xmlns="http://schemas.openxmlformats.org/spreadsheetml/2006/main" count="110" uniqueCount="101">
  <si>
    <t xml:space="preserve">PMNHG GbR – Gewinn- und Verlustrechnung 2026</t>
  </si>
  <si>
    <t xml:space="preserve">Google Maps Optimierung | Immobilienfotografie | Content Creation</t>
  </si>
  <si>
    <t xml:space="preserve">Position</t>
  </si>
  <si>
    <t xml:space="preserve">Jan</t>
  </si>
  <si>
    <t xml:space="preserve">Feb</t>
  </si>
  <si>
    <t xml:space="preserve">Mär</t>
  </si>
  <si>
    <t xml:space="preserve">Apr</t>
  </si>
  <si>
    <t xml:space="preserve">Mai</t>
  </si>
  <si>
    <t xml:space="preserve">Jun</t>
  </si>
  <si>
    <t xml:space="preserve">Jul</t>
  </si>
  <si>
    <t xml:space="preserve">Aug</t>
  </si>
  <si>
    <t xml:space="preserve">Sep</t>
  </si>
  <si>
    <t xml:space="preserve">Okt</t>
  </si>
  <si>
    <t xml:space="preserve">Nov</t>
  </si>
  <si>
    <t xml:space="preserve">Dez</t>
  </si>
  <si>
    <t xml:space="preserve">GESAMT</t>
  </si>
  <si>
    <t xml:space="preserve">EINNAHMEN</t>
  </si>
  <si>
    <t xml:space="preserve">Google Maps – Basis-Pakete (150€)</t>
  </si>
  <si>
    <t xml:space="preserve">Google Maps – Pro-Pakete (299€)</t>
  </si>
  <si>
    <t xml:space="preserve">Google Maps – Premium-Pakete (449€)</t>
  </si>
  <si>
    <t xml:space="preserve">Google Maps – Monatliche Betreuung (99€/mtl.)</t>
  </si>
  <si>
    <t xml:space="preserve">Immobilien – Starter-Pakete (199€)</t>
  </si>
  <si>
    <t xml:space="preserve">Immobilien – Standard-Pakete (349€)</t>
  </si>
  <si>
    <t xml:space="preserve">Immobilien – Premium-Pakete (599€)</t>
  </si>
  <si>
    <t xml:space="preserve">KI-Fotos / Virtuelles Homestaging</t>
  </si>
  <si>
    <t xml:space="preserve">Video / Content Creation</t>
  </si>
  <si>
    <t xml:space="preserve">Sonstige Einnahmen</t>
  </si>
  <si>
    <t xml:space="preserve">GESAMTEINNAHMEN</t>
  </si>
  <si>
    <t xml:space="preserve">AUSGABEN</t>
  </si>
  <si>
    <t xml:space="preserve">Equipment (Kamera, Drohne, Mikrofon, Licht)</t>
  </si>
  <si>
    <t xml:space="preserve">Software &amp; Tools (Bildbearbeitung, KI, Hosting)</t>
  </si>
  <si>
    <t xml:space="preserve">Google Ads / Online-Werbung</t>
  </si>
  <si>
    <t xml:space="preserve">Fahrtkosten / Anfahrt zu Kunden</t>
  </si>
  <si>
    <t xml:space="preserve">Telefon &amp; Internet</t>
  </si>
  <si>
    <t xml:space="preserve">Versicherungen</t>
  </si>
  <si>
    <t xml:space="preserve">Büromaterial &amp; Druck</t>
  </si>
  <si>
    <t xml:space="preserve">Weiterbildung / Kurse</t>
  </si>
  <si>
    <t xml:space="preserve">Rechts- &amp; Steuerberatung</t>
  </si>
  <si>
    <t xml:space="preserve">Sonstige Ausgaben</t>
  </si>
  <si>
    <t xml:space="preserve">GESAMTAUSGABEN</t>
  </si>
  <si>
    <t xml:space="preserve">ERGEBNIS</t>
  </si>
  <si>
    <t xml:space="preserve">GEWINN / VERLUST (vor Steuern)</t>
  </si>
  <si>
    <t xml:space="preserve">Gewinnmarge (%)</t>
  </si>
  <si>
    <t xml:space="preserve">Gewinn pro Person (÷2)</t>
  </si>
  <si>
    <t xml:space="preserve">HINWEISE</t>
  </si>
  <si>
    <t xml:space="preserve">• Blaue Zahlen = Eingabefelder (hier tragt ihr eure echten Werte ein)</t>
  </si>
  <si>
    <t xml:space="preserve">• Schwarze Zahlen = Formeln (berechnen sich automatisch)</t>
  </si>
  <si>
    <t xml:space="preserve">• Alle Beträge in Euro, netto (ohne MwSt.)</t>
  </si>
  <si>
    <t xml:space="preserve">• PMNHG GbR – Phil &amp; Niclas – Gewinn wird 50/50 geteilt</t>
  </si>
  <si>
    <t xml:space="preserve">Nr.</t>
  </si>
  <si>
    <t xml:space="preserve">Kundenname</t>
  </si>
  <si>
    <t xml:space="preserve">Branche</t>
  </si>
  <si>
    <t xml:space="preserve">Paket</t>
  </si>
  <si>
    <t xml:space="preserve">Kontakt</t>
  </si>
  <si>
    <t xml:space="preserve">Datum</t>
  </si>
  <si>
    <t xml:space="preserve">Betrag (€)</t>
  </si>
  <si>
    <t xml:space="preserve">Bezahlt?</t>
  </si>
  <si>
    <t xml:space="preserve">Notizen</t>
  </si>
  <si>
    <t xml:space="preserve">Beispiel Restaurant</t>
  </si>
  <si>
    <t xml:space="preserve">Gastronomie</t>
  </si>
  <si>
    <t xml:space="preserve">Maps Pro (299€)</t>
  </si>
  <si>
    <t xml:space="preserve">+49 123 456789</t>
  </si>
  <si>
    <t xml:space="preserve">01.04.2026</t>
  </si>
  <si>
    <t xml:space="preserve">Ja</t>
  </si>
  <si>
    <t xml:space="preserve">Erste Case Study</t>
  </si>
  <si>
    <t xml:space="preserve">Makler Müller</t>
  </si>
  <si>
    <t xml:space="preserve">Immobilien</t>
  </si>
  <si>
    <t xml:space="preserve">Immo Standard (349€)</t>
  </si>
  <si>
    <t xml:space="preserve">mueller@email.de</t>
  </si>
  <si>
    <t xml:space="preserve">05.04.2026</t>
  </si>
  <si>
    <t xml:space="preserve">Will monatl. Betreuung</t>
  </si>
  <si>
    <t xml:space="preserve">Equipment</t>
  </si>
  <si>
    <t xml:space="preserve">Kategorie</t>
  </si>
  <si>
    <t xml:space="preserve">Preis (€)</t>
  </si>
  <si>
    <t xml:space="preserve">Gekauft am</t>
  </si>
  <si>
    <t xml:space="preserve">Status</t>
  </si>
  <si>
    <t xml:space="preserve">Drohne (DJI Mini / Air)</t>
  </si>
  <si>
    <t xml:space="preserve">Drohne</t>
  </si>
  <si>
    <t xml:space="preserve">Vorhanden</t>
  </si>
  <si>
    <t xml:space="preserve">Kamera 1 (Hauptkamera)</t>
  </si>
  <si>
    <t xml:space="preserve">Kamera</t>
  </si>
  <si>
    <t xml:space="preserve">Kamera 2 (Zweitkamera)</t>
  </si>
  <si>
    <t xml:space="preserve">Weitwinkelobjektiv</t>
  </si>
  <si>
    <t xml:space="preserve">Objektiv</t>
  </si>
  <si>
    <t xml:space="preserve">Mikrofon (Rode / Sennheiser)</t>
  </si>
  <si>
    <t xml:space="preserve">Audio</t>
  </si>
  <si>
    <t xml:space="preserve">Stativ</t>
  </si>
  <si>
    <t xml:space="preserve">Zubehör</t>
  </si>
  <si>
    <t xml:space="preserve">Gimbal / Stabilizer</t>
  </si>
  <si>
    <t xml:space="preserve">Video</t>
  </si>
  <si>
    <t xml:space="preserve">LED Videolicht</t>
  </si>
  <si>
    <t xml:space="preserve">Licht</t>
  </si>
  <si>
    <t xml:space="preserve">Speicherkarten</t>
  </si>
  <si>
    <t xml:space="preserve">Laptop / Bearbeitung</t>
  </si>
  <si>
    <t xml:space="preserve">Software</t>
  </si>
  <si>
    <t xml:space="preserve">Lightroom / Photoshop Abo</t>
  </si>
  <si>
    <t xml:space="preserve">Canva Pro</t>
  </si>
  <si>
    <t xml:space="preserve">Netlify Hosting</t>
  </si>
  <si>
    <t xml:space="preserve">Website</t>
  </si>
  <si>
    <t xml:space="preserve">Kostenlos</t>
  </si>
  <si>
    <t xml:space="preserve">Domain (localup.de o.ä.)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</si>
</sst>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€&quot;;\(#,##0.00&quot; €)&quot;;\-"/>
    <numFmt numFmtId="166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A26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sz val="10"/>
      <color rgb="FF333333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A1A26"/>
      <name val="Arial"/>
      <family val="0"/>
      <charset val="1"/>
    </font>
    <font>
      <b val="true"/>
      <sz val="11"/>
      <color rgb="FFC62828"/>
      <name val="Arial"/>
      <family val="0"/>
      <charset val="1"/>
    </font>
    <font>
      <b val="true"/>
      <sz val="12"/>
      <color rgb="FF1A1A26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sz val="9"/>
      <color rgb="FF666666"/>
      <name val="Arial"/>
      <family val="0"/>
      <charset val="1"/>
    </font>
    <font>
      <sz val="10"/>
      <color rgb="FF999999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1A26"/>
        <bgColor rgb="FF333333"/>
      </patternFill>
    </fill>
    <fill>
      <patternFill patternType="solid">
        <fgColor rgb="FFE8F5E9"/>
        <bgColor rgb="FFF5F5F5"/>
      </patternFill>
    </fill>
    <fill>
      <patternFill patternType="solid">
        <fgColor rgb="FFF5F5F5"/>
        <bgColor rgb="FFE8F5E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  <border diagonalUp="false" diagonalDown="false">
      <left/>
      <right/>
      <top style="medium">
        <color rgb="FF1A1A26"/>
      </top>
      <bottom style="medium">
        <color rgb="FF1A1A2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5F5F5"/>
      <rgbColor rgb="FFE8F5E9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2E7D32"/>
      <rgbColor rgb="FF003300"/>
      <rgbColor rgb="FF1A1A26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4" min="2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6" customFormat="false" ht="15" hidden="false" customHeight="false" outlineLevel="0" collapsed="false">
      <c r="A6" s="5" t="s">
        <v>16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5" hidden="false" customHeight="false" outlineLevel="0" collapsed="false">
      <c r="A7" s="7" t="s">
        <v>17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customFormat="false" ht="15" hidden="false" customHeight="false" outlineLevel="0" collapsed="false">
      <c r="A8" s="7" t="s">
        <v>18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customFormat="false" ht="15" hidden="false" customHeight="false" outlineLevel="0" collapsed="false">
      <c r="A9" s="7" t="s">
        <v>19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customFormat="false" ht="15" hidden="false" customHeight="false" outlineLevel="0" collapsed="false">
      <c r="A10" s="7" t="s">
        <v>20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customFormat="false" ht="15" hidden="false" customHeight="false" outlineLevel="0" collapsed="false">
      <c r="A11" s="7" t="s">
        <v>21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customFormat="false" ht="15" hidden="false" customHeight="false" outlineLevel="0" collapsed="false">
      <c r="A12" s="7" t="s">
        <v>22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customFormat="false" ht="15" hidden="false" customHeight="false" outlineLevel="0" collapsed="false">
      <c r="A13" s="7" t="s">
        <v>23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customFormat="false" ht="15" hidden="false" customHeight="false" outlineLevel="0" collapsed="false">
      <c r="A14" s="7" t="s">
        <v>24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customFormat="false" ht="15" hidden="false" customHeight="false" outlineLevel="0" collapsed="false">
      <c r="A15" s="7" t="s">
        <v>25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customFormat="false" ht="15" hidden="false" customHeight="false" outlineLevel="0" collapsed="false">
      <c r="A16" s="7" t="s">
        <v>26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customFormat="false" ht="15" hidden="false" customHeight="false" outlineLevel="0" collapsed="false">
      <c r="A17" s="9" t="s">
        <v>27</v>
      </c>
      <c r="B17" s="10" t="n">
        <f aca="false">SUM(B7:B16)</f>
        <v>0</v>
      </c>
      <c r="C17" s="10" t="n">
        <f aca="false">SUM(C7:C16)</f>
        <v>0</v>
      </c>
      <c r="D17" s="10" t="n">
        <f aca="false">SUM(D7:D16)</f>
        <v>0</v>
      </c>
      <c r="E17" s="10" t="n">
        <f aca="false">SUM(E7:E16)</f>
        <v>0</v>
      </c>
      <c r="F17" s="10" t="n">
        <f aca="false">SUM(F7:F16)</f>
        <v>0</v>
      </c>
      <c r="G17" s="10" t="n">
        <f aca="false">SUM(G7:G16)</f>
        <v>0</v>
      </c>
      <c r="H17" s="10" t="n">
        <f aca="false">SUM(H7:H16)</f>
        <v>0</v>
      </c>
      <c r="I17" s="10" t="n">
        <f aca="false">SUM(I7:I16)</f>
        <v>0</v>
      </c>
      <c r="J17" s="10" t="n">
        <f aca="false">SUM(J7:J16)</f>
        <v>0</v>
      </c>
      <c r="K17" s="10" t="n">
        <f aca="false">SUM(K7:K16)</f>
        <v>0</v>
      </c>
      <c r="L17" s="10" t="n">
        <f aca="false">SUM(L7:L16)</f>
        <v>0</v>
      </c>
      <c r="M17" s="10" t="n">
        <f aca="false">SUM(M7:M16)</f>
        <v>0</v>
      </c>
      <c r="N17" s="10" t="n">
        <f aca="false">SUM(B17:M17)</f>
        <v>0</v>
      </c>
    </row>
    <row r="19" customFormat="false" ht="15" hidden="false" customHeight="false" outlineLevel="0" collapsed="false">
      <c r="A19" s="5" t="s">
        <v>28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customFormat="false" ht="15" hidden="false" customHeight="false" outlineLevel="0" collapsed="false">
      <c r="A20" s="7" t="s">
        <v>29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customFormat="false" ht="15" hidden="false" customHeight="false" outlineLevel="0" collapsed="false">
      <c r="A21" s="7" t="s">
        <v>30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customFormat="false" ht="15" hidden="false" customHeight="false" outlineLevel="0" collapsed="false">
      <c r="A22" s="7" t="s">
        <v>31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customFormat="false" ht="15" hidden="false" customHeight="false" outlineLevel="0" collapsed="false">
      <c r="A23" s="7" t="s">
        <v>32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customFormat="false" ht="15" hidden="false" customHeight="false" outlineLevel="0" collapsed="false">
      <c r="A24" s="7" t="s">
        <v>33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customFormat="false" ht="15" hidden="false" customHeight="false" outlineLevel="0" collapsed="false">
      <c r="A25" s="7" t="s">
        <v>34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customFormat="false" ht="15" hidden="false" customHeight="false" outlineLevel="0" collapsed="false">
      <c r="A26" s="7" t="s">
        <v>35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customFormat="false" ht="15" hidden="false" customHeight="false" outlineLevel="0" collapsed="false">
      <c r="A27" s="7" t="s">
        <v>36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customFormat="false" ht="15" hidden="false" customHeight="false" outlineLevel="0" collapsed="false">
      <c r="A28" s="7" t="s">
        <v>37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customFormat="false" ht="15" hidden="false" customHeight="false" outlineLevel="0" collapsed="false">
      <c r="A29" s="7" t="s">
        <v>38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customFormat="false" ht="15" hidden="false" customHeight="false" outlineLevel="0" collapsed="false">
      <c r="A30" s="9" t="s">
        <v>39</v>
      </c>
      <c r="B30" s="11" t="n">
        <f aca="false">SUM(B20:B29)</f>
        <v>0</v>
      </c>
      <c r="C30" s="11" t="n">
        <f aca="false">SUM(C20:C29)</f>
        <v>0</v>
      </c>
      <c r="D30" s="11" t="n">
        <f aca="false">SUM(D20:D29)</f>
        <v>0</v>
      </c>
      <c r="E30" s="11" t="n">
        <f aca="false">SUM(E20:E29)</f>
        <v>0</v>
      </c>
      <c r="F30" s="11" t="n">
        <f aca="false">SUM(F20:F29)</f>
        <v>0</v>
      </c>
      <c r="G30" s="11" t="n">
        <f aca="false">SUM(G20:G29)</f>
        <v>0</v>
      </c>
      <c r="H30" s="11" t="n">
        <f aca="false">SUM(H20:H29)</f>
        <v>0</v>
      </c>
      <c r="I30" s="11" t="n">
        <f aca="false">SUM(I20:I29)</f>
        <v>0</v>
      </c>
      <c r="J30" s="11" t="n">
        <f aca="false">SUM(J20:J29)</f>
        <v>0</v>
      </c>
      <c r="K30" s="11" t="n">
        <f aca="false">SUM(K20:K29)</f>
        <v>0</v>
      </c>
      <c r="L30" s="11" t="n">
        <f aca="false">SUM(L20:L29)</f>
        <v>0</v>
      </c>
      <c r="M30" s="11" t="n">
        <f aca="false">SUM(M20:M29)</f>
        <v>0</v>
      </c>
      <c r="N30" s="11" t="n">
        <f aca="false">SUM(B30:M30)</f>
        <v>0</v>
      </c>
    </row>
    <row r="32" customFormat="false" ht="15" hidden="false" customHeight="false" outlineLevel="0" collapsed="false">
      <c r="A32" s="5" t="s">
        <v>40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customFormat="false" ht="15" hidden="false" customHeight="false" outlineLevel="0" collapsed="false">
      <c r="A33" s="12" t="s">
        <v>41</v>
      </c>
      <c r="B33" s="13" t="n">
        <f aca="false">B17-B30</f>
        <v>0</v>
      </c>
      <c r="C33" s="13" t="n">
        <f aca="false">C17-C30</f>
        <v>0</v>
      </c>
      <c r="D33" s="13" t="n">
        <f aca="false">D17-D30</f>
        <v>0</v>
      </c>
      <c r="E33" s="13" t="n">
        <f aca="false">E17-E30</f>
        <v>0</v>
      </c>
      <c r="F33" s="13" t="n">
        <f aca="false">F17-F30</f>
        <v>0</v>
      </c>
      <c r="G33" s="13" t="n">
        <f aca="false">G17-G30</f>
        <v>0</v>
      </c>
      <c r="H33" s="13" t="n">
        <f aca="false">H17-H30</f>
        <v>0</v>
      </c>
      <c r="I33" s="13" t="n">
        <f aca="false">I17-I30</f>
        <v>0</v>
      </c>
      <c r="J33" s="13" t="n">
        <f aca="false">J17-J30</f>
        <v>0</v>
      </c>
      <c r="K33" s="13" t="n">
        <f aca="false">K17-K30</f>
        <v>0</v>
      </c>
      <c r="L33" s="13" t="n">
        <f aca="false">L17-L30</f>
        <v>0</v>
      </c>
      <c r="M33" s="13" t="n">
        <f aca="false">M17-M30</f>
        <v>0</v>
      </c>
      <c r="N33" s="13" t="n">
        <f aca="false">SUM(B33:M33)</f>
        <v>0</v>
      </c>
    </row>
    <row r="34" customFormat="false" ht="15" hidden="false" customHeight="false" outlineLevel="0" collapsed="false">
      <c r="A34" s="7" t="s">
        <v>42</v>
      </c>
      <c r="B34" s="14" t="n">
        <f aca="false">IF(B17=0,0,B33/B17)</f>
        <v>0</v>
      </c>
      <c r="C34" s="14" t="n">
        <f aca="false">IF(C17=0,0,C33/C17)</f>
        <v>0</v>
      </c>
      <c r="D34" s="14" t="n">
        <f aca="false">IF(D17=0,0,D33/D17)</f>
        <v>0</v>
      </c>
      <c r="E34" s="14" t="n">
        <f aca="false">IF(E17=0,0,E33/E17)</f>
        <v>0</v>
      </c>
      <c r="F34" s="14" t="n">
        <f aca="false">IF(F17=0,0,F33/F17)</f>
        <v>0</v>
      </c>
      <c r="G34" s="14" t="n">
        <f aca="false">IF(G17=0,0,G33/G17)</f>
        <v>0</v>
      </c>
      <c r="H34" s="14" t="n">
        <f aca="false">IF(H17=0,0,H33/H17)</f>
        <v>0</v>
      </c>
      <c r="I34" s="14" t="n">
        <f aca="false">IF(I17=0,0,I33/I17)</f>
        <v>0</v>
      </c>
      <c r="J34" s="14" t="n">
        <f aca="false">IF(J17=0,0,J33/J17)</f>
        <v>0</v>
      </c>
      <c r="K34" s="14" t="n">
        <f aca="false">IF(K17=0,0,K33/K17)</f>
        <v>0</v>
      </c>
      <c r="L34" s="14" t="n">
        <f aca="false">IF(L17=0,0,L33/L17)</f>
        <v>0</v>
      </c>
      <c r="M34" s="14" t="n">
        <f aca="false">IF(M17=0,0,M33/M17)</f>
        <v>0</v>
      </c>
      <c r="N34" s="14" t="n">
        <f aca="false">IF(N17=0,0,N33/N17)</f>
        <v>0</v>
      </c>
    </row>
    <row r="35" customFormat="false" ht="15" hidden="false" customHeight="false" outlineLevel="0" collapsed="false">
      <c r="A35" s="7" t="s">
        <v>43</v>
      </c>
      <c r="B35" s="15" t="n">
        <f aca="false">B33/2</f>
        <v>0</v>
      </c>
      <c r="C35" s="15" t="n">
        <f aca="false">C33/2</f>
        <v>0</v>
      </c>
      <c r="D35" s="15" t="n">
        <f aca="false">D33/2</f>
        <v>0</v>
      </c>
      <c r="E35" s="15" t="n">
        <f aca="false">E33/2</f>
        <v>0</v>
      </c>
      <c r="F35" s="15" t="n">
        <f aca="false">F33/2</f>
        <v>0</v>
      </c>
      <c r="G35" s="15" t="n">
        <f aca="false">G33/2</f>
        <v>0</v>
      </c>
      <c r="H35" s="15" t="n">
        <f aca="false">H33/2</f>
        <v>0</v>
      </c>
      <c r="I35" s="15" t="n">
        <f aca="false">I33/2</f>
        <v>0</v>
      </c>
      <c r="J35" s="15" t="n">
        <f aca="false">J33/2</f>
        <v>0</v>
      </c>
      <c r="K35" s="15" t="n">
        <f aca="false">K33/2</f>
        <v>0</v>
      </c>
      <c r="L35" s="15" t="n">
        <f aca="false">L33/2</f>
        <v>0</v>
      </c>
      <c r="M35" s="15" t="n">
        <f aca="false">M33/2</f>
        <v>0</v>
      </c>
      <c r="N35" s="15" t="n">
        <f aca="false">N33/2</f>
        <v>0</v>
      </c>
    </row>
    <row r="38" customFormat="false" ht="15" hidden="false" customHeight="false" outlineLevel="0" collapsed="false">
      <c r="A38" s="16" t="s">
        <v>44</v>
      </c>
    </row>
    <row r="39" customFormat="false" ht="15" hidden="false" customHeight="false" outlineLevel="0" collapsed="false">
      <c r="A39" s="17" t="s">
        <v>45</v>
      </c>
    </row>
    <row r="40" customFormat="false" ht="15" hidden="false" customHeight="false" outlineLevel="0" collapsed="false">
      <c r="A40" s="17" t="s">
        <v>46</v>
      </c>
    </row>
    <row r="41" customFormat="false" ht="15" hidden="false" customHeight="false" outlineLevel="0" collapsed="false">
      <c r="A41" s="17" t="s">
        <v>47</v>
      </c>
    </row>
    <row r="42" customFormat="false" ht="15" hidden="false" customHeight="false" outlineLevel="0" collapsed="false">
      <c r="A42" s="17" t="s">
        <v>48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</row>
    <row r="2" customFormat="false" ht="15" hidden="false" customHeight="false" outlineLevel="0" collapsed="false">
      <c r="A2" s="18" t="n">
        <v>1</v>
      </c>
      <c r="B2" s="18" t="s">
        <v>58</v>
      </c>
      <c r="C2" s="18" t="s">
        <v>59</v>
      </c>
      <c r="D2" s="18" t="s">
        <v>60</v>
      </c>
      <c r="E2" s="18" t="s">
        <v>61</v>
      </c>
      <c r="F2" s="18" t="s">
        <v>62</v>
      </c>
      <c r="G2" s="18" t="n">
        <v>299</v>
      </c>
      <c r="H2" s="18" t="s">
        <v>63</v>
      </c>
      <c r="I2" s="18" t="s">
        <v>64</v>
      </c>
    </row>
    <row r="3" customFormat="false" ht="15" hidden="false" customHeight="false" outlineLevel="0" collapsed="false">
      <c r="A3" s="18" t="n">
        <v>2</v>
      </c>
      <c r="B3" s="18" t="s">
        <v>65</v>
      </c>
      <c r="C3" s="18" t="s">
        <v>66</v>
      </c>
      <c r="D3" s="18" t="s">
        <v>67</v>
      </c>
      <c r="E3" s="18" t="s">
        <v>68</v>
      </c>
      <c r="F3" s="18" t="s">
        <v>69</v>
      </c>
      <c r="G3" s="18" t="n">
        <v>349</v>
      </c>
      <c r="H3" s="18" t="s">
        <v>63</v>
      </c>
      <c r="I3" s="18" t="s">
        <v>70</v>
      </c>
    </row>
    <row r="4" customFormat="false" ht="15" hidden="false" customHeight="false" outlineLevel="0" collapsed="false">
      <c r="A4" s="7" t="n">
        <v>3</v>
      </c>
      <c r="B4" s="7"/>
      <c r="C4" s="7"/>
      <c r="D4" s="7"/>
      <c r="E4" s="7"/>
      <c r="F4" s="7"/>
      <c r="G4" s="7"/>
      <c r="H4" s="7"/>
      <c r="I4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4" t="s">
        <v>71</v>
      </c>
      <c r="B1" s="4" t="s">
        <v>72</v>
      </c>
      <c r="C1" s="4" t="s">
        <v>73</v>
      </c>
      <c r="D1" s="4" t="s">
        <v>74</v>
      </c>
      <c r="E1" s="4" t="s">
        <v>75</v>
      </c>
    </row>
    <row r="2" customFormat="false" ht="15" hidden="false" customHeight="false" outlineLevel="0" collapsed="false">
      <c r="A2" s="19" t="s">
        <v>76</v>
      </c>
      <c r="B2" s="19" t="s">
        <v>77</v>
      </c>
      <c r="C2" s="19"/>
      <c r="D2" s="19"/>
      <c r="E2" s="19" t="s">
        <v>78</v>
      </c>
    </row>
    <row r="3" customFormat="false" ht="15" hidden="false" customHeight="false" outlineLevel="0" collapsed="false">
      <c r="A3" s="19" t="s">
        <v>79</v>
      </c>
      <c r="B3" s="19" t="s">
        <v>80</v>
      </c>
      <c r="C3" s="19"/>
      <c r="D3" s="19"/>
      <c r="E3" s="19" t="s">
        <v>78</v>
      </c>
    </row>
    <row r="4" customFormat="false" ht="15" hidden="false" customHeight="false" outlineLevel="0" collapsed="false">
      <c r="A4" s="19" t="s">
        <v>81</v>
      </c>
      <c r="B4" s="19" t="s">
        <v>80</v>
      </c>
      <c r="C4" s="19"/>
      <c r="D4" s="19"/>
      <c r="E4" s="19" t="s">
        <v>78</v>
      </c>
    </row>
    <row r="5" customFormat="false" ht="15" hidden="false" customHeight="false" outlineLevel="0" collapsed="false">
      <c r="A5" s="19" t="s">
        <v>82</v>
      </c>
      <c r="B5" s="19" t="s">
        <v>83</v>
      </c>
      <c r="C5" s="19"/>
      <c r="D5" s="19"/>
      <c r="E5" s="19"/>
    </row>
    <row r="6" customFormat="false" ht="15" hidden="false" customHeight="false" outlineLevel="0" collapsed="false">
      <c r="A6" s="19" t="s">
        <v>84</v>
      </c>
      <c r="B6" s="19" t="s">
        <v>85</v>
      </c>
      <c r="C6" s="19"/>
      <c r="D6" s="19"/>
      <c r="E6" s="19" t="s">
        <v>78</v>
      </c>
    </row>
    <row r="7" customFormat="false" ht="15" hidden="false" customHeight="false" outlineLevel="0" collapsed="false">
      <c r="A7" s="19" t="s">
        <v>86</v>
      </c>
      <c r="B7" s="19" t="s">
        <v>87</v>
      </c>
      <c r="C7" s="19"/>
      <c r="D7" s="19"/>
      <c r="E7" s="19"/>
    </row>
    <row r="8" customFormat="false" ht="15" hidden="false" customHeight="false" outlineLevel="0" collapsed="false">
      <c r="A8" s="19" t="s">
        <v>88</v>
      </c>
      <c r="B8" s="19" t="s">
        <v>89</v>
      </c>
      <c r="C8" s="19"/>
      <c r="D8" s="19"/>
      <c r="E8" s="19"/>
    </row>
    <row r="9" customFormat="false" ht="15" hidden="false" customHeight="false" outlineLevel="0" collapsed="false">
      <c r="A9" s="19" t="s">
        <v>90</v>
      </c>
      <c r="B9" s="19" t="s">
        <v>91</v>
      </c>
      <c r="C9" s="19"/>
      <c r="D9" s="19"/>
      <c r="E9" s="19"/>
    </row>
    <row r="10" customFormat="false" ht="15" hidden="false" customHeight="false" outlineLevel="0" collapsed="false">
      <c r="A10" s="19" t="s">
        <v>92</v>
      </c>
      <c r="B10" s="19" t="s">
        <v>87</v>
      </c>
      <c r="C10" s="19"/>
      <c r="D10" s="19"/>
      <c r="E10" s="19"/>
    </row>
    <row r="11" customFormat="false" ht="15" hidden="false" customHeight="false" outlineLevel="0" collapsed="false">
      <c r="A11" s="19" t="s">
        <v>93</v>
      </c>
      <c r="B11" s="19" t="s">
        <v>94</v>
      </c>
      <c r="C11" s="19"/>
      <c r="D11" s="19"/>
      <c r="E11" s="19"/>
    </row>
    <row r="12" customFormat="false" ht="15" hidden="false" customHeight="false" outlineLevel="0" collapsed="false">
      <c r="A12" s="19" t="s">
        <v>95</v>
      </c>
      <c r="B12" s="19" t="s">
        <v>94</v>
      </c>
      <c r="C12" s="19"/>
      <c r="D12" s="19"/>
      <c r="E12" s="19"/>
    </row>
    <row r="13" customFormat="false" ht="15" hidden="false" customHeight="false" outlineLevel="0" collapsed="false">
      <c r="A13" s="19" t="s">
        <v>96</v>
      </c>
      <c r="B13" s="19" t="s">
        <v>94</v>
      </c>
      <c r="C13" s="19"/>
      <c r="D13" s="19"/>
      <c r="E13" s="19"/>
    </row>
    <row r="14" customFormat="false" ht="15" hidden="false" customHeight="false" outlineLevel="0" collapsed="false">
      <c r="A14" s="19" t="s">
        <v>97</v>
      </c>
      <c r="B14" s="19" t="s">
        <v>98</v>
      </c>
      <c r="C14" s="19" t="n">
        <v>0</v>
      </c>
      <c r="D14" s="19"/>
      <c r="E14" s="19" t="s">
        <v>99</v>
      </c>
    </row>
    <row r="15" customFormat="false" ht="15" hidden="false" customHeight="false" outlineLevel="0" collapsed="false">
      <c r="A15" s="19" t="s">
        <v>100</v>
      </c>
      <c r="B15" s="19" t="s">
        <v>98</v>
      </c>
      <c r="C15" s="19"/>
      <c r="D15" s="19"/>
      <c r="E15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2026-03-18T12:16:48Z</dcterms:created>
  <dc:creator>openpyxl</dc:creator>
  <dc:description/>
  <dc:language>en-US</dc:language>
  <cp:lastModifiedBy/>
  <dcterms:modified xsi:type="dcterms:W3CDTF">2026-03-18T12:16:48Z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